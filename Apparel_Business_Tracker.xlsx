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Clients" sheetId="1" state="visible" r:id="rId1"/>
    <sheet name="Financials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5" customWidth="1" min="5" max="5"/>
    <col width="12" customWidth="1" min="6" max="6"/>
    <col width="18" customWidth="1" min="7" max="7"/>
    <col width="10" customWidth="1" min="8" max="8"/>
    <col width="15" customWidth="1" min="9" max="9"/>
    <col width="16" customWidth="1" min="10" max="10"/>
    <col width="15" customWidth="1" min="11" max="11"/>
    <col width="15" customWidth="1" min="12" max="12"/>
    <col width="14" customWidth="1" min="13" max="13"/>
    <col width="25" customWidth="1" min="14" max="14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Client_Name</t>
        </is>
      </c>
      <c r="D1" s="1" t="inlineStr">
        <is>
          <t>Contact_Channel</t>
        </is>
      </c>
      <c r="E1" s="1" t="inlineStr">
        <is>
          <t>Contact_Info</t>
        </is>
      </c>
      <c r="F1" s="1" t="inlineStr">
        <is>
          <t>Location</t>
        </is>
      </c>
      <c r="G1" s="1" t="inlineStr">
        <is>
          <t>Product_Design</t>
        </is>
      </c>
      <c r="H1" s="1" t="inlineStr">
        <is>
          <t>Quantity</t>
        </is>
      </c>
      <c r="I1" s="1" t="inlineStr">
        <is>
          <t>Order_Status</t>
        </is>
      </c>
      <c r="J1" s="1" t="inlineStr">
        <is>
          <t>Shipping_Company</t>
        </is>
      </c>
      <c r="K1" s="1" t="inlineStr">
        <is>
          <t>Tracking_Number</t>
        </is>
      </c>
      <c r="L1" s="1" t="inlineStr">
        <is>
          <t>Delivery_Status</t>
        </is>
      </c>
      <c r="M1" s="1" t="inlineStr">
        <is>
          <t>Follow_Up_Count</t>
        </is>
      </c>
      <c r="N1" s="1" t="inlineStr">
        <is>
          <t>Notes</t>
        </is>
      </c>
    </row>
    <row r="2">
      <c r="A2" s="2" t="inlineStr">
        <is>
          <t>ORD-001</t>
        </is>
      </c>
      <c r="B2" s="3" t="n">
        <v>45992</v>
      </c>
      <c r="C2" s="2" t="inlineStr">
        <is>
          <t>Juan García</t>
        </is>
      </c>
      <c r="D2" s="2" t="inlineStr">
        <is>
          <t>Instagram</t>
        </is>
      </c>
      <c r="E2" s="2" t="inlineStr">
        <is>
          <t>+34612345678</t>
        </is>
      </c>
      <c r="F2" s="2" t="inlineStr">
        <is>
          <t>Madrid</t>
        </is>
      </c>
      <c r="G2" s="2" t="inlineStr">
        <is>
          <t>Camiseta Premium</t>
        </is>
      </c>
      <c r="H2" s="2" t="n">
        <v>2</v>
      </c>
      <c r="I2" s="2" t="inlineStr">
        <is>
          <t>Delivered</t>
        </is>
      </c>
      <c r="J2" s="2" t="inlineStr">
        <is>
          <t>Correos</t>
        </is>
      </c>
      <c r="K2" s="2" t="inlineStr">
        <is>
          <t>1Z12345</t>
        </is>
      </c>
      <c r="L2" s="2" t="inlineStr">
        <is>
          <t>Entregado</t>
        </is>
      </c>
      <c r="M2" s="2" t="n">
        <v>1</v>
      </c>
      <c r="N2" s="2" t="inlineStr">
        <is>
          <t>Cliente satisfecho</t>
        </is>
      </c>
    </row>
    <row r="3">
      <c r="A3" s="2" t="inlineStr">
        <is>
          <t>ORD-002</t>
        </is>
      </c>
      <c r="B3" s="3" t="n">
        <v>45996</v>
      </c>
      <c r="C3" s="2" t="inlineStr">
        <is>
          <t>María López</t>
        </is>
      </c>
      <c r="D3" s="2" t="inlineStr">
        <is>
          <t>WhatsApp</t>
        </is>
      </c>
      <c r="E3" s="2" t="inlineStr">
        <is>
          <t>+34687654321</t>
        </is>
      </c>
      <c r="F3" s="2" t="inlineStr">
        <is>
          <t>Barcelona</t>
        </is>
      </c>
      <c r="G3" s="2" t="inlineStr">
        <is>
          <t>Sudadera Básica</t>
        </is>
      </c>
      <c r="H3" s="2" t="n">
        <v>1</v>
      </c>
      <c r="I3" s="2" t="inlineStr">
        <is>
          <t>In production</t>
        </is>
      </c>
      <c r="J3" s="2" t="inlineStr">
        <is>
          <t>Fedex</t>
        </is>
      </c>
      <c r="K3" s="2" t="inlineStr"/>
      <c r="L3" s="2" t="inlineStr">
        <is>
          <t>En tránsito</t>
        </is>
      </c>
      <c r="M3" s="2" t="n">
        <v>0</v>
      </c>
      <c r="N3" s="2" t="inlineStr"/>
    </row>
    <row r="4">
      <c r="A4" s="2" t="inlineStr">
        <is>
          <t>ORD-003</t>
        </is>
      </c>
      <c r="B4" s="3" t="n">
        <v>45999</v>
      </c>
      <c r="C4" s="2" t="inlineStr">
        <is>
          <t>Carlos Ruiz</t>
        </is>
      </c>
      <c r="D4" s="2" t="inlineStr">
        <is>
          <t>Instagram</t>
        </is>
      </c>
      <c r="E4" s="2" t="inlineStr">
        <is>
          <t>+34698765432</t>
        </is>
      </c>
      <c r="F4" s="2" t="inlineStr">
        <is>
          <t>Valencia</t>
        </is>
      </c>
      <c r="G4" s="2" t="inlineStr">
        <is>
          <t>Gorro y Bufanda</t>
        </is>
      </c>
      <c r="H4" s="2" t="n">
        <v>3</v>
      </c>
      <c r="I4" s="2" t="inlineStr">
        <is>
          <t>Pending</t>
        </is>
      </c>
      <c r="J4" s="2" t="inlineStr"/>
      <c r="K4" s="2" t="inlineStr"/>
      <c r="L4" s="2" t="inlineStr">
        <is>
          <t>Pendiente</t>
        </is>
      </c>
      <c r="M4" s="2" t="n">
        <v>0</v>
      </c>
      <c r="N4" s="2" t="inlineStr">
        <is>
          <t>Esperar confirmación de pago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5" customWidth="1" min="8" max="8"/>
    <col width="16" customWidth="1" min="9" max="9"/>
    <col width="15" customWidth="1" min="10" max="10"/>
    <col width="12" customWidth="1" min="11" max="11"/>
  </cols>
  <sheetData>
    <row r="1">
      <c r="A1" s="1" t="inlineStr">
        <is>
          <t>Order_ID</t>
        </is>
      </c>
      <c r="B1" s="1" t="inlineStr">
        <is>
          <t>Sale_Price</t>
        </is>
      </c>
      <c r="C1" s="1" t="inlineStr">
        <is>
          <t>Product_Cost</t>
        </is>
      </c>
      <c r="D1" s="1" t="inlineStr">
        <is>
          <t>Shipping_Cost</t>
        </is>
      </c>
      <c r="E1" s="1" t="inlineStr">
        <is>
          <t>Advertising_Cost</t>
        </is>
      </c>
      <c r="F1" s="1" t="inlineStr">
        <is>
          <t>Gross_Profit</t>
        </is>
      </c>
      <c r="G1" s="1" t="inlineStr">
        <is>
          <t>Net_Profit</t>
        </is>
      </c>
      <c r="H1" s="1" t="inlineStr">
        <is>
          <t>Profit_Margin_%</t>
        </is>
      </c>
      <c r="I1" s="1" t="inlineStr">
        <is>
          <t>Payment_Method</t>
        </is>
      </c>
      <c r="J1" s="1" t="inlineStr">
        <is>
          <t>Payment_Status</t>
        </is>
      </c>
      <c r="K1" s="1" t="inlineStr">
        <is>
          <t>Date_Paid</t>
        </is>
      </c>
    </row>
    <row r="2">
      <c r="A2" s="4" t="inlineStr">
        <is>
          <t>ORD-001</t>
        </is>
      </c>
      <c r="B2" s="5" t="n">
        <v>45</v>
      </c>
      <c r="C2" s="5" t="n">
        <v>12</v>
      </c>
      <c r="D2" s="5" t="n">
        <v>5</v>
      </c>
      <c r="E2" s="5" t="n">
        <v>2</v>
      </c>
      <c r="F2" s="5">
        <f>B2-C2-D2</f>
        <v/>
      </c>
      <c r="G2" s="5">
        <f>E2-D2</f>
        <v/>
      </c>
      <c r="H2" s="6">
        <f>F2/B2</f>
        <v/>
      </c>
      <c r="J2" s="7" t="n"/>
    </row>
    <row r="3">
      <c r="A3" s="4" t="inlineStr">
        <is>
          <t>ORD-002</t>
        </is>
      </c>
      <c r="B3" s="5" t="n">
        <v>38.5</v>
      </c>
      <c r="C3" s="5" t="n">
        <v>10.5</v>
      </c>
      <c r="D3" s="5" t="n">
        <v>4.5</v>
      </c>
      <c r="E3" s="5" t="n">
        <v>0</v>
      </c>
      <c r="F3" s="5">
        <f>B3-C3-D3</f>
        <v/>
      </c>
      <c r="G3" s="5">
        <f>E3-D3</f>
        <v/>
      </c>
      <c r="H3" s="6">
        <f>F3/B3</f>
        <v/>
      </c>
      <c r="J3" s="7" t="n"/>
    </row>
    <row r="4">
      <c r="A4" s="4" t="inlineStr">
        <is>
          <t>ORD-003</t>
        </is>
      </c>
      <c r="B4" s="5" t="n">
        <v>25</v>
      </c>
      <c r="C4" s="5" t="n">
        <v>8</v>
      </c>
      <c r="D4" s="5" t="n">
        <v>3.5</v>
      </c>
      <c r="E4" s="5" t="n">
        <v>1.5</v>
      </c>
      <c r="F4" s="5">
        <f>B4-C4-D4</f>
        <v/>
      </c>
      <c r="G4" s="5">
        <f>E4-D4</f>
        <v/>
      </c>
      <c r="H4" s="6">
        <f>F4/B4</f>
        <v/>
      </c>
      <c r="J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8" t="inlineStr">
        <is>
          <t>Contact_Channel</t>
        </is>
      </c>
      <c r="B1" s="8" t="inlineStr">
        <is>
          <t>Order_Status</t>
        </is>
      </c>
    </row>
    <row r="2">
      <c r="A2" t="inlineStr">
        <is>
          <t>Instagram</t>
        </is>
      </c>
      <c r="B2" t="inlineStr">
        <is>
          <t>Pending</t>
        </is>
      </c>
    </row>
    <row r="3">
      <c r="A3" t="inlineStr">
        <is>
          <t>WhatsApp</t>
        </is>
      </c>
      <c r="B3" t="inlineStr">
        <is>
          <t>In production</t>
        </is>
      </c>
    </row>
    <row r="4">
      <c r="A4" t="inlineStr">
        <is>
          <t>Email</t>
        </is>
      </c>
      <c r="B4" t="inlineStr">
        <is>
          <t>Shipped</t>
        </is>
      </c>
    </row>
    <row r="5">
      <c r="A5" t="inlineStr">
        <is>
          <t>Facebook</t>
        </is>
      </c>
      <c r="B5" t="inlineStr">
        <is>
          <t>Delivered</t>
        </is>
      </c>
    </row>
    <row r="6">
      <c r="A6" t="inlineStr">
        <is>
          <t>Phone</t>
        </is>
      </c>
      <c r="B6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2025-12-16T02:34:14Z</dcterms:created>
  <dcterms:modified xsi:type="dcterms:W3CDTF">2025-12-16T02:34:14Z</dcterms:modified>
</cp:coreProperties>
</file>